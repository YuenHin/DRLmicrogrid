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<sst xmlns="http://schemas.openxmlformats.org/spreadsheetml/2006/main" count="9" uniqueCount="9">
  <si>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predict_mu</t>
  </si>
  <si>
    <t>predict_min</t>
  </si>
  <si>
    <t>predict_max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</si>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</sst>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7"/>
  <sheetViews>
    <sheetView tabSelected="1" topLeftCell="D1" workbookViewId="0">
      <selection activeCell="I2" sqref="I2"/>
    </sheetView>
  </sheetViews>
  <sheetFormatPr defaultColWidth="9" defaultRowHeight="13.5"/>
  <cols>
    <col min="2" max="2" width="15.2035398230088" customWidth="1"/>
    <col min="3" max="3" width="13.6814159292035" customWidth="1"/>
    <col min="4" max="4" width="16.7345132743363" customWidth="1"/>
    <col min="9" max="9" width="12.7964601769912"/>
    <col min="13" max="13" width="13.858407079646"/>
    <col min="15" max="15" width="12.7964601769912"/>
    <col min="17" max="17" width="12.7964601769912"/>
  </cols>
  <sheetData>
    <row r="1" spans="2:18">
      <c r="B1" s="1" t="s">
        <v>0</v>
      </c>
      <c r="C1" s="1" t="s">
        <v>1</v>
      </c>
      <c r="D1" s="1" t="s">
        <v>2</v>
      </c>
      <c r="G1" s="2"/>
      <c r="H1" s="2"/>
      <c r="I1" s="2" t="s">
        <v>3</v>
      </c>
      <c r="J1" s="2" t="s">
        <v>4</v>
      </c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</row>
    <row r="2" spans="1:18">
      <c r="A2">
        <v>0</v>
      </c>
      <c r="B2">
        <v>1.60728738915751</v>
      </c>
      <c r="C2">
        <v>1.55608226196628</v>
      </c>
      <c r="D2">
        <v>1.65849251634873</v>
      </c>
      <c r="G2" s="2">
        <v>0</v>
      </c>
      <c r="H2" s="2">
        <f ca="1">OFFSET($B$2,(ROW(B1)-1)*4,0)</f>
        <v>1.60728738915751</v>
      </c>
      <c r="I2" s="2">
        <f ca="1">H2*2</f>
        <v>3.21457477831502</v>
      </c>
      <c r="J2" s="2">
        <v>0.969885</v>
      </c>
      <c r="K2" s="2">
        <f ca="1" t="shared" ref="K2:K25" si="0">H2*J2</f>
        <v>1.55888392943303</v>
      </c>
      <c r="L2" s="2">
        <f ca="1">OFFSET($C$2,(ROW(C1)-1)*4,0)</f>
        <v>1.55608226196628</v>
      </c>
      <c r="M2" s="2">
        <f ca="1">L2*2</f>
        <v>3.11216452393256</v>
      </c>
      <c r="N2" s="2">
        <f ca="1">OFFSET($D$2,(ROW(D1)-1)*4,0)</f>
        <v>1.65849251634873</v>
      </c>
      <c r="O2" s="2">
        <f ca="1">N2*2</f>
        <v>3.31698503269746</v>
      </c>
      <c r="P2" s="2">
        <f ca="1" t="shared" ref="P2:P25" si="1">IF(OR(K2&gt;L2,K2&lt;N2),K2,H2)</f>
        <v>1.55888392943303</v>
      </c>
      <c r="Q2" s="2">
        <f ca="1">P2*2</f>
        <v>3.11776785886606</v>
      </c>
      <c r="R2" s="2">
        <f ca="1" t="shared" ref="R2:R25" si="2">IF(H2=P2,0,1)</f>
        <v>1</v>
      </c>
    </row>
    <row r="3" spans="1:18">
      <c r="A3">
        <v>1</v>
      </c>
      <c r="B3">
        <v>1.38257237739742</v>
      </c>
      <c r="C3">
        <v>1.34020831190108</v>
      </c>
      <c r="D3">
        <v>1.42493644289376</v>
      </c>
      <c r="G3" s="2">
        <v>1</v>
      </c>
      <c r="H3" s="2">
        <f ca="1">OFFSET($B$2,(ROW(B2)-1)*4,0)</f>
        <v>1.43437286015242</v>
      </c>
      <c r="I3" s="2">
        <f ca="1" t="shared" ref="I3:I25" si="3">H3*2</f>
        <v>2.86874572030484</v>
      </c>
      <c r="J3" s="2">
        <v>1.021257</v>
      </c>
      <c r="K3" s="2">
        <f ca="1" t="shared" si="0"/>
        <v>1.46486332404068</v>
      </c>
      <c r="L3" s="2">
        <f ca="1">OFFSET($C$2,(ROW(C2)-1)*4,0)</f>
        <v>1.383912474186</v>
      </c>
      <c r="M3" s="2">
        <f ca="1" t="shared" ref="M3:M25" si="4">L3*2</f>
        <v>2.767824948372</v>
      </c>
      <c r="N3" s="2">
        <f ca="1">OFFSET($D$2,(ROW(D2)-1)*4,0)</f>
        <v>1.48483324611884</v>
      </c>
      <c r="O3" s="2">
        <f ca="1" t="shared" ref="O3:O25" si="5">N3*2</f>
        <v>2.96966649223768</v>
      </c>
      <c r="P3" s="2">
        <f ca="1" t="shared" si="1"/>
        <v>1.46486332404068</v>
      </c>
      <c r="Q3" s="2">
        <f ca="1" t="shared" ref="Q3:Q25" si="6">P3*2</f>
        <v>2.92972664808136</v>
      </c>
      <c r="R3" s="2">
        <f ca="1" t="shared" si="2"/>
        <v>1</v>
      </c>
    </row>
    <row r="4" spans="1:18">
      <c r="A4">
        <v>2</v>
      </c>
      <c r="B4">
        <v>1.22443047250648</v>
      </c>
      <c r="C4">
        <v>1.17977831539412</v>
      </c>
      <c r="D4">
        <v>1.26908262961885</v>
      </c>
      <c r="G4" s="2">
        <v>2</v>
      </c>
      <c r="H4" s="2">
        <f ca="1">OFFSET($B$2,(ROW(B3)-1)*4,0)</f>
        <v>1.63669116340175</v>
      </c>
      <c r="I4" s="2">
        <f ca="1" t="shared" si="3"/>
        <v>3.2733823268035</v>
      </c>
      <c r="J4" s="2">
        <v>0.997038</v>
      </c>
      <c r="K4" s="2">
        <f ca="1" t="shared" si="0"/>
        <v>1.63184328417575</v>
      </c>
      <c r="L4" s="2">
        <f ca="1">OFFSET($C$2,(ROW(C3)-1)*4,0)</f>
        <v>1.55547802335185</v>
      </c>
      <c r="M4" s="2">
        <f ca="1" t="shared" si="4"/>
        <v>3.1109560467037</v>
      </c>
      <c r="N4" s="2">
        <f ca="1">OFFSET($D$2,(ROW(D3)-1)*4,0)</f>
        <v>1.71790430345165</v>
      </c>
      <c r="O4" s="2">
        <f ca="1" t="shared" si="5"/>
        <v>3.4358086069033</v>
      </c>
      <c r="P4" s="2">
        <f ca="1" t="shared" si="1"/>
        <v>1.63184328417575</v>
      </c>
      <c r="Q4" s="2">
        <f ca="1" t="shared" si="6"/>
        <v>3.26368656835151</v>
      </c>
      <c r="R4" s="2">
        <f ca="1" t="shared" si="2"/>
        <v>1</v>
      </c>
    </row>
    <row r="5" spans="1:18">
      <c r="A5">
        <v>3</v>
      </c>
      <c r="B5">
        <v>1.88083623685918</v>
      </c>
      <c r="C5">
        <v>1.817844169226</v>
      </c>
      <c r="D5">
        <v>1.94382830449235</v>
      </c>
      <c r="G5" s="2">
        <v>3</v>
      </c>
      <c r="H5" s="2">
        <f ca="1">OFFSET($B$2,(ROW(B4)-1)*4,0)</f>
        <v>1.94309103664992</v>
      </c>
      <c r="I5" s="2">
        <f ca="1" t="shared" si="3"/>
        <v>3.88618207329984</v>
      </c>
      <c r="J5" s="2">
        <v>1.03662</v>
      </c>
      <c r="K5" s="2">
        <f ca="1" t="shared" si="0"/>
        <v>2.01424703041204</v>
      </c>
      <c r="L5" s="2">
        <f ca="1">OFFSET($C$2,(ROW(C4)-1)*4,0)</f>
        <v>1.88635244027236</v>
      </c>
      <c r="M5" s="2">
        <f ca="1" t="shared" si="4"/>
        <v>3.77270488054472</v>
      </c>
      <c r="N5" s="2">
        <f ca="1">OFFSET($D$2,(ROW(D4)-1)*4,0)</f>
        <v>1.99982963302749</v>
      </c>
      <c r="O5" s="2">
        <f ca="1" t="shared" si="5"/>
        <v>3.99965926605498</v>
      </c>
      <c r="P5" s="2">
        <f ca="1" t="shared" si="1"/>
        <v>2.01424703041204</v>
      </c>
      <c r="Q5" s="2">
        <f ca="1" t="shared" si="6"/>
        <v>4.02849406082408</v>
      </c>
      <c r="R5" s="2">
        <f ca="1" t="shared" si="2"/>
        <v>1</v>
      </c>
    </row>
    <row r="6" spans="1:18">
      <c r="A6">
        <v>4</v>
      </c>
      <c r="B6">
        <v>1.43437286015242</v>
      </c>
      <c r="C6">
        <v>1.383912474186</v>
      </c>
      <c r="D6">
        <v>1.48483324611884</v>
      </c>
      <c r="G6" s="2">
        <v>4</v>
      </c>
      <c r="H6" s="2">
        <f ca="1">OFFSET($B$2,(ROW(B5)-1)*4,0)</f>
        <v>1.64904316643282</v>
      </c>
      <c r="I6" s="2">
        <f ca="1" t="shared" si="3"/>
        <v>3.29808633286564</v>
      </c>
      <c r="J6" s="2">
        <v>1.034074</v>
      </c>
      <c r="K6" s="2">
        <f ca="1" t="shared" si="0"/>
        <v>1.70523266328585</v>
      </c>
      <c r="L6" s="2">
        <f ca="1">OFFSET($C$2,(ROW(C5)-1)*4,0)</f>
        <v>1.60361276744509</v>
      </c>
      <c r="M6" s="2">
        <f ca="1" t="shared" si="4"/>
        <v>3.20722553489018</v>
      </c>
      <c r="N6" s="2">
        <f ca="1">OFFSET($D$2,(ROW(D5)-1)*4,0)</f>
        <v>1.69447356542056</v>
      </c>
      <c r="O6" s="2">
        <f ca="1" t="shared" si="5"/>
        <v>3.38894713084112</v>
      </c>
      <c r="P6" s="2">
        <f ca="1" t="shared" si="1"/>
        <v>1.70523266328585</v>
      </c>
      <c r="Q6" s="2">
        <f ca="1" t="shared" si="6"/>
        <v>3.4104653265717</v>
      </c>
      <c r="R6" s="2">
        <f ca="1" t="shared" si="2"/>
        <v>1</v>
      </c>
    </row>
    <row r="7" spans="1:18">
      <c r="A7">
        <v>5</v>
      </c>
      <c r="B7">
        <v>1.645911443727</v>
      </c>
      <c r="C7">
        <v>1.57894891037626</v>
      </c>
      <c r="D7">
        <v>1.71287397707775</v>
      </c>
      <c r="G7" s="2">
        <v>5</v>
      </c>
      <c r="H7" s="2">
        <f ca="1">OFFSET($B$2,(ROW(B6)-1)*4,0)</f>
        <v>1.2460589072752</v>
      </c>
      <c r="I7" s="2">
        <f ca="1" t="shared" si="3"/>
        <v>2.4921178145504</v>
      </c>
      <c r="J7" s="2">
        <v>0.988478</v>
      </c>
      <c r="K7" s="2">
        <f ca="1" t="shared" si="0"/>
        <v>1.23170181654558</v>
      </c>
      <c r="L7" s="2">
        <f ca="1">OFFSET($C$2,(ROW(C6)-1)*4,0)</f>
        <v>1.16625645981652</v>
      </c>
      <c r="M7" s="2">
        <f ca="1" t="shared" si="4"/>
        <v>2.33251291963304</v>
      </c>
      <c r="N7" s="2">
        <f ca="1">OFFSET($D$2,(ROW(D6)-1)*4,0)</f>
        <v>1.32586135473389</v>
      </c>
      <c r="O7" s="2">
        <f ca="1" t="shared" si="5"/>
        <v>2.65172270946778</v>
      </c>
      <c r="P7" s="2">
        <f ca="1" t="shared" si="1"/>
        <v>1.23170181654558</v>
      </c>
      <c r="Q7" s="2">
        <f ca="1" t="shared" si="6"/>
        <v>2.46340363309115</v>
      </c>
      <c r="R7" s="2">
        <f ca="1" t="shared" si="2"/>
        <v>1</v>
      </c>
    </row>
    <row r="8" spans="1:18">
      <c r="A8">
        <v>6</v>
      </c>
      <c r="B8">
        <v>0.986501420592727</v>
      </c>
      <c r="C8">
        <v>0.930060146417297</v>
      </c>
      <c r="D8">
        <v>1.04294269476816</v>
      </c>
      <c r="G8" s="2">
        <v>6</v>
      </c>
      <c r="H8" s="2">
        <f ca="1">OFFSET($B$2,(ROW(B7)-1)*4,0)</f>
        <v>0.433202665878096</v>
      </c>
      <c r="I8" s="2">
        <f ca="1" t="shared" si="3"/>
        <v>0.866405331756192</v>
      </c>
      <c r="J8" s="2">
        <v>1.00025</v>
      </c>
      <c r="K8" s="2">
        <f ca="1" t="shared" si="0"/>
        <v>0.433310966544566</v>
      </c>
      <c r="L8" s="2">
        <f ca="1">OFFSET($C$2,(ROW(C7)-1)*4,0)</f>
        <v>0.379615890712904</v>
      </c>
      <c r="M8" s="2">
        <f ca="1" t="shared" si="4"/>
        <v>0.759231781425808</v>
      </c>
      <c r="N8" s="2">
        <f ca="1">OFFSET($D$2,(ROW(D7)-1)*4,0)</f>
        <v>0.486789441043288</v>
      </c>
      <c r="O8" s="2">
        <f ca="1" t="shared" si="5"/>
        <v>0.973578882086576</v>
      </c>
      <c r="P8" s="2">
        <f ca="1" t="shared" si="1"/>
        <v>0.433310966544566</v>
      </c>
      <c r="Q8" s="2">
        <f ca="1" t="shared" si="6"/>
        <v>0.866621933089131</v>
      </c>
      <c r="R8" s="2">
        <f ca="1" t="shared" si="2"/>
        <v>1</v>
      </c>
    </row>
    <row r="9" spans="1:18">
      <c r="A9">
        <v>7</v>
      </c>
      <c r="B9">
        <v>0.749471257861395</v>
      </c>
      <c r="C9">
        <v>0.694336904556409</v>
      </c>
      <c r="D9">
        <v>0.804605611166381</v>
      </c>
      <c r="G9" s="2">
        <v>7</v>
      </c>
      <c r="H9" s="2">
        <f ca="1">OFFSET($B$2,(ROW(B8)-1)*4,0)</f>
        <v>0.660079018176577</v>
      </c>
      <c r="I9" s="2">
        <f ca="1" t="shared" si="3"/>
        <v>1.32015803635315</v>
      </c>
      <c r="J9" s="2">
        <v>1.037387</v>
      </c>
      <c r="K9" s="2">
        <f ca="1" t="shared" si="0"/>
        <v>0.684757392429145</v>
      </c>
      <c r="L9" s="2">
        <f ca="1">OFFSET($C$2,(ROW(C8)-1)*4,0)</f>
        <v>0.613190589907034</v>
      </c>
      <c r="M9" s="2">
        <f ca="1" t="shared" si="4"/>
        <v>1.22638117981407</v>
      </c>
      <c r="N9" s="2">
        <f ca="1">OFFSET($D$2,(ROW(D8)-1)*4,0)</f>
        <v>0.70696744644612</v>
      </c>
      <c r="O9" s="2">
        <f ca="1" t="shared" si="5"/>
        <v>1.41393489289224</v>
      </c>
      <c r="P9" s="2">
        <f ca="1" t="shared" si="1"/>
        <v>0.684757392429145</v>
      </c>
      <c r="Q9" s="2">
        <f ca="1" t="shared" si="6"/>
        <v>1.36951478485829</v>
      </c>
      <c r="R9" s="2">
        <f ca="1" t="shared" si="2"/>
        <v>1</v>
      </c>
    </row>
    <row r="10" spans="1:18">
      <c r="A10">
        <v>8</v>
      </c>
      <c r="B10">
        <v>1.63669116340175</v>
      </c>
      <c r="C10">
        <v>1.55547802335185</v>
      </c>
      <c r="D10">
        <v>1.71790430345165</v>
      </c>
      <c r="G10" s="2">
        <v>8</v>
      </c>
      <c r="H10" s="2">
        <f ca="1">OFFSET($B$2,(ROW(B9)-1)*4,0)</f>
        <v>38.465</v>
      </c>
      <c r="I10" s="2">
        <f ca="1" t="shared" si="3"/>
        <v>76.93</v>
      </c>
      <c r="J10" s="2">
        <v>1.045036</v>
      </c>
      <c r="K10" s="2">
        <f ca="1" t="shared" si="0"/>
        <v>40.19730974</v>
      </c>
      <c r="L10" s="2">
        <f ca="1">OFFSET($C$2,(ROW(C9)-1)*4,0)</f>
        <v>35.1417291689057</v>
      </c>
      <c r="M10" s="2">
        <f ca="1" t="shared" si="4"/>
        <v>70.2834583378114</v>
      </c>
      <c r="N10" s="2">
        <f ca="1">OFFSET($D$2,(ROW(D9)-1)*4,0)</f>
        <v>41.7882708310943</v>
      </c>
      <c r="O10" s="2">
        <f ca="1" t="shared" si="5"/>
        <v>83.5765416621886</v>
      </c>
      <c r="P10" s="2">
        <f ca="1" t="shared" si="1"/>
        <v>40.19730974</v>
      </c>
      <c r="Q10" s="2">
        <f ca="1" t="shared" si="6"/>
        <v>80.39461948</v>
      </c>
      <c r="R10" s="2">
        <f ca="1" t="shared" si="2"/>
        <v>1</v>
      </c>
    </row>
    <row r="11" spans="1:18">
      <c r="A11">
        <v>9</v>
      </c>
      <c r="B11">
        <v>1.85868447112671</v>
      </c>
      <c r="C11">
        <v>1.788192524685</v>
      </c>
      <c r="D11">
        <v>1.92917641756841</v>
      </c>
      <c r="G11" s="2">
        <v>9</v>
      </c>
      <c r="H11" s="2">
        <f ca="1">OFFSET($B$2,(ROW(B10)-1)*4,0)</f>
        <v>109.3575</v>
      </c>
      <c r="I11" s="2">
        <f ca="1" t="shared" si="3"/>
        <v>218.715</v>
      </c>
      <c r="J11" s="2">
        <v>0.986436</v>
      </c>
      <c r="K11" s="2">
        <f ca="1" t="shared" si="0"/>
        <v>107.87417487</v>
      </c>
      <c r="L11" s="2">
        <f ca="1">OFFSET($C$2,(ROW(C10)-1)*4,0)</f>
        <v>97.9735594391906</v>
      </c>
      <c r="M11" s="2">
        <f ca="1" t="shared" si="4"/>
        <v>195.947118878381</v>
      </c>
      <c r="N11" s="2">
        <f ca="1">OFFSET($D$2,(ROW(D10)-1)*4,0)</f>
        <v>120.741440560809</v>
      </c>
      <c r="O11" s="2">
        <f ca="1" t="shared" si="5"/>
        <v>241.482881121618</v>
      </c>
      <c r="P11" s="2">
        <f ca="1" t="shared" si="1"/>
        <v>107.87417487</v>
      </c>
      <c r="Q11" s="2">
        <f ca="1" t="shared" si="6"/>
        <v>215.74834974</v>
      </c>
      <c r="R11" s="2">
        <f ca="1" t="shared" si="2"/>
        <v>1</v>
      </c>
    </row>
    <row r="12" spans="1:18">
      <c r="A12">
        <v>10</v>
      </c>
      <c r="B12">
        <v>2.004611675904</v>
      </c>
      <c r="C12">
        <v>1.92204588921399</v>
      </c>
      <c r="D12">
        <v>2.08717746259401</v>
      </c>
      <c r="G12" s="2">
        <v>10</v>
      </c>
      <c r="H12" s="2">
        <f ca="1">OFFSET($B$2,(ROW(B11)-1)*4,0)</f>
        <v>226.39</v>
      </c>
      <c r="I12" s="2">
        <f ca="1" t="shared" si="3"/>
        <v>452.78</v>
      </c>
      <c r="J12" s="2">
        <v>0.972533</v>
      </c>
      <c r="K12" s="2">
        <f ca="1" t="shared" si="0"/>
        <v>220.17174587</v>
      </c>
      <c r="L12" s="2">
        <f ca="1">OFFSET($C$2,(ROW(C11)-1)*4,0)</f>
        <v>189.493032151142</v>
      </c>
      <c r="M12" s="2">
        <f ca="1" t="shared" si="4"/>
        <v>378.986064302284</v>
      </c>
      <c r="N12" s="2">
        <f ca="1">OFFSET($D$2,(ROW(D11)-1)*4,0)</f>
        <v>263.286967848858</v>
      </c>
      <c r="O12" s="2">
        <f ca="1" t="shared" si="5"/>
        <v>526.573935697716</v>
      </c>
      <c r="P12" s="2">
        <f ca="1" t="shared" si="1"/>
        <v>220.17174587</v>
      </c>
      <c r="Q12" s="2">
        <f ca="1" t="shared" si="6"/>
        <v>440.34349174</v>
      </c>
      <c r="R12" s="2">
        <f ca="1" t="shared" si="2"/>
        <v>1</v>
      </c>
    </row>
    <row r="13" spans="1:18">
      <c r="A13">
        <v>11</v>
      </c>
      <c r="B13">
        <v>1.94226566407506</v>
      </c>
      <c r="C13">
        <v>1.87595541289792</v>
      </c>
      <c r="D13">
        <v>2.00857591525221</v>
      </c>
      <c r="G13" s="2">
        <v>11</v>
      </c>
      <c r="H13" s="2">
        <f ca="1">OFFSET($B$2,(ROW(B12)-1)*4,0)</f>
        <v>280.2725</v>
      </c>
      <c r="I13" s="2">
        <f ca="1" t="shared" si="3"/>
        <v>560.545</v>
      </c>
      <c r="J13" s="2">
        <v>1.006938</v>
      </c>
      <c r="K13" s="2">
        <f ca="1" t="shared" si="0"/>
        <v>282.217030605</v>
      </c>
      <c r="L13" s="2">
        <f ca="1">OFFSET($C$2,(ROW(C12)-1)*4,0)</f>
        <v>219.640700030149</v>
      </c>
      <c r="M13" s="2">
        <f ca="1" t="shared" si="4"/>
        <v>439.281400060298</v>
      </c>
      <c r="N13" s="2">
        <f ca="1">OFFSET($D$2,(ROW(D12)-1)*4,0)</f>
        <v>340.904299969851</v>
      </c>
      <c r="O13" s="2">
        <f ca="1" t="shared" si="5"/>
        <v>681.808599939702</v>
      </c>
      <c r="P13" s="2">
        <f ca="1" t="shared" si="1"/>
        <v>282.217030605</v>
      </c>
      <c r="Q13" s="2">
        <f ca="1" t="shared" si="6"/>
        <v>564.43406121</v>
      </c>
      <c r="R13" s="2">
        <f ca="1" t="shared" si="2"/>
        <v>1</v>
      </c>
    </row>
    <row r="14" spans="1:18">
      <c r="A14">
        <v>12</v>
      </c>
      <c r="B14">
        <v>1.94309103664992</v>
      </c>
      <c r="C14">
        <v>1.88635244027236</v>
      </c>
      <c r="D14">
        <v>1.99982963302749</v>
      </c>
      <c r="G14" s="2">
        <v>12</v>
      </c>
      <c r="H14" s="2">
        <f ca="1">OFFSET($B$2,(ROW(B13)-1)*4,0)</f>
        <v>273.73</v>
      </c>
      <c r="I14" s="2">
        <f ca="1" t="shared" si="3"/>
        <v>547.46</v>
      </c>
      <c r="J14" s="2">
        <v>1.024603</v>
      </c>
      <c r="K14" s="2">
        <f ca="1" t="shared" si="0"/>
        <v>280.46457919</v>
      </c>
      <c r="L14" s="2">
        <f ca="1">OFFSET($C$2,(ROW(C13)-1)*4,0)</f>
        <v>208.399000329279</v>
      </c>
      <c r="M14" s="2">
        <f ca="1" t="shared" si="4"/>
        <v>416.798000658558</v>
      </c>
      <c r="N14" s="2">
        <f ca="1">OFFSET($D$2,(ROW(D13)-1)*4,0)</f>
        <v>339.060999670721</v>
      </c>
      <c r="O14" s="2">
        <f ca="1" t="shared" si="5"/>
        <v>678.121999341442</v>
      </c>
      <c r="P14" s="2">
        <f ca="1" t="shared" si="1"/>
        <v>280.46457919</v>
      </c>
      <c r="Q14" s="2">
        <f ca="1" t="shared" si="6"/>
        <v>560.92915838</v>
      </c>
      <c r="R14" s="2">
        <f ca="1" t="shared" si="2"/>
        <v>1</v>
      </c>
    </row>
    <row r="15" spans="1:18">
      <c r="A15">
        <v>13</v>
      </c>
      <c r="B15">
        <v>1.82702640702302</v>
      </c>
      <c r="C15">
        <v>1.77992912057827</v>
      </c>
      <c r="D15">
        <v>1.87412369346778</v>
      </c>
      <c r="G15" s="2">
        <v>13</v>
      </c>
      <c r="H15" s="2">
        <f ca="1">OFFSET($B$2,(ROW(B14)-1)*4,0)</f>
        <v>243.505</v>
      </c>
      <c r="I15" s="2">
        <f ca="1" t="shared" si="3"/>
        <v>487.01</v>
      </c>
      <c r="J15" s="2">
        <v>0.985</v>
      </c>
      <c r="K15" s="2">
        <f ca="1" t="shared" si="0"/>
        <v>239.852425</v>
      </c>
      <c r="L15" s="2">
        <f ca="1">OFFSET($C$2,(ROW(C14)-1)*4,0)</f>
        <v>212.882270711686</v>
      </c>
      <c r="M15" s="2">
        <f ca="1" t="shared" si="4"/>
        <v>425.764541423372</v>
      </c>
      <c r="N15" s="2">
        <f ca="1">OFFSET($D$2,(ROW(D14)-1)*4,0)</f>
        <v>274.127729288314</v>
      </c>
      <c r="O15" s="2">
        <f ca="1" t="shared" si="5"/>
        <v>548.255458576628</v>
      </c>
      <c r="P15" s="2">
        <f ca="1" t="shared" si="1"/>
        <v>239.852425</v>
      </c>
      <c r="Q15" s="2">
        <f ca="1" t="shared" si="6"/>
        <v>479.70485</v>
      </c>
      <c r="R15" s="2">
        <f ca="1" t="shared" si="2"/>
        <v>1</v>
      </c>
    </row>
    <row r="16" spans="1:18">
      <c r="A16">
        <v>14</v>
      </c>
      <c r="B16">
        <v>1.60237639557545</v>
      </c>
      <c r="C16">
        <v>1.56122106323168</v>
      </c>
      <c r="D16">
        <v>1.64353172791921</v>
      </c>
      <c r="G16" s="2">
        <v>14</v>
      </c>
      <c r="H16" s="2">
        <f ca="1">OFFSET($B$2,(ROW(B15)-1)*4,0)</f>
        <v>211.8275</v>
      </c>
      <c r="I16" s="2">
        <f ca="1" t="shared" si="3"/>
        <v>423.655</v>
      </c>
      <c r="J16" s="2">
        <v>0.989829</v>
      </c>
      <c r="K16" s="2">
        <f ca="1" t="shared" si="0"/>
        <v>209.6730024975</v>
      </c>
      <c r="L16" s="2">
        <f ca="1">OFFSET($C$2,(ROW(C15)-1)*4,0)</f>
        <v>167.219913792104</v>
      </c>
      <c r="M16" s="2">
        <f ca="1" t="shared" si="4"/>
        <v>334.439827584208</v>
      </c>
      <c r="N16" s="2">
        <f ca="1">OFFSET($D$2,(ROW(D15)-1)*4,0)</f>
        <v>256.435086207896</v>
      </c>
      <c r="O16" s="2">
        <f ca="1" t="shared" si="5"/>
        <v>512.870172415792</v>
      </c>
      <c r="P16" s="2">
        <f ca="1" t="shared" si="1"/>
        <v>209.6730024975</v>
      </c>
      <c r="Q16" s="2">
        <f ca="1" t="shared" si="6"/>
        <v>419.346004995</v>
      </c>
      <c r="R16" s="2">
        <f ca="1" t="shared" si="2"/>
        <v>1</v>
      </c>
    </row>
    <row r="17" spans="1:18">
      <c r="A17">
        <v>15</v>
      </c>
      <c r="B17">
        <v>1.59033819517398</v>
      </c>
      <c r="C17">
        <v>1.52145586610863</v>
      </c>
      <c r="D17">
        <v>1.65922052423934</v>
      </c>
      <c r="G17" s="2">
        <v>15</v>
      </c>
      <c r="H17" s="2">
        <f ca="1">OFFSET($B$2,(ROW(B16)-1)*4,0)</f>
        <v>137.8575</v>
      </c>
      <c r="I17" s="2">
        <f ca="1" t="shared" si="3"/>
        <v>275.715</v>
      </c>
      <c r="J17" s="2">
        <v>0.997796</v>
      </c>
      <c r="K17" s="2">
        <f ca="1" t="shared" si="0"/>
        <v>137.55366207</v>
      </c>
      <c r="L17" s="2">
        <f ca="1">OFFSET($C$2,(ROW(C16)-1)*4,0)</f>
        <v>121.425214361155</v>
      </c>
      <c r="M17" s="2">
        <f ca="1" t="shared" si="4"/>
        <v>242.85042872231</v>
      </c>
      <c r="N17" s="2">
        <f ca="1">OFFSET($D$2,(ROW(D16)-1)*4,0)</f>
        <v>154.289785638845</v>
      </c>
      <c r="O17" s="2">
        <f ca="1" t="shared" si="5"/>
        <v>308.57957127769</v>
      </c>
      <c r="P17" s="2">
        <f ca="1" t="shared" si="1"/>
        <v>137.55366207</v>
      </c>
      <c r="Q17" s="2">
        <f ca="1" t="shared" si="6"/>
        <v>275.10732414</v>
      </c>
      <c r="R17" s="2">
        <f ca="1" t="shared" si="2"/>
        <v>1</v>
      </c>
    </row>
    <row r="18" spans="1:18">
      <c r="A18">
        <v>16</v>
      </c>
      <c r="B18">
        <v>1.64904316643282</v>
      </c>
      <c r="C18">
        <v>1.60361276744509</v>
      </c>
      <c r="D18">
        <v>1.69447356542056</v>
      </c>
      <c r="G18" s="2">
        <v>16</v>
      </c>
      <c r="H18" s="2">
        <f ca="1">OFFSET($B$2,(ROW(B17)-1)*4,0)</f>
        <v>57.2</v>
      </c>
      <c r="I18" s="2">
        <f ca="1" t="shared" si="3"/>
        <v>114.4</v>
      </c>
      <c r="J18" s="2">
        <v>0.964075</v>
      </c>
      <c r="K18" s="2">
        <f ca="1" t="shared" si="0"/>
        <v>55.14509</v>
      </c>
      <c r="L18" s="2">
        <f ca="1">OFFSET($C$2,(ROW(C17)-1)*4,0)</f>
        <v>44.1081675280479</v>
      </c>
      <c r="M18" s="2">
        <f ca="1" t="shared" si="4"/>
        <v>88.2163350560958</v>
      </c>
      <c r="N18" s="2">
        <f ca="1">OFFSET($D$2,(ROW(D17)-1)*4,0)</f>
        <v>70.2918324719521</v>
      </c>
      <c r="O18" s="2">
        <f ca="1" t="shared" si="5"/>
        <v>140.583664943904</v>
      </c>
      <c r="P18" s="2">
        <f ca="1" t="shared" si="1"/>
        <v>55.14509</v>
      </c>
      <c r="Q18" s="2">
        <f ca="1" t="shared" si="6"/>
        <v>110.29018</v>
      </c>
      <c r="R18" s="2">
        <f ca="1" t="shared" si="2"/>
        <v>1</v>
      </c>
    </row>
    <row r="19" spans="1:18">
      <c r="A19">
        <v>17</v>
      </c>
      <c r="B19">
        <v>1.88081731991042</v>
      </c>
      <c r="C19">
        <v>1.8281809274851</v>
      </c>
      <c r="D19">
        <v>1.93345371233574</v>
      </c>
      <c r="G19" s="2">
        <v>17</v>
      </c>
      <c r="H19" s="2">
        <f ca="1">OFFSET($B$2,(ROW(B18)-1)*4,0)</f>
        <v>4.295</v>
      </c>
      <c r="I19" s="2">
        <f ca="1" t="shared" si="3"/>
        <v>8.59</v>
      </c>
      <c r="J19" s="2">
        <v>0.964811</v>
      </c>
      <c r="K19" s="2">
        <f ca="1" t="shared" si="0"/>
        <v>4.143863245</v>
      </c>
      <c r="L19" s="2">
        <f ca="1">OFFSET($C$2,(ROW(C18)-1)*4,0)</f>
        <v>-0.0519094295368312</v>
      </c>
      <c r="M19" s="2">
        <f ca="1" t="shared" si="4"/>
        <v>-0.103818859073662</v>
      </c>
      <c r="N19" s="2">
        <f ca="1">OFFSET($D$2,(ROW(D18)-1)*4,0)</f>
        <v>8.64190942953683</v>
      </c>
      <c r="O19" s="2">
        <f ca="1" t="shared" si="5"/>
        <v>17.2838188590737</v>
      </c>
      <c r="P19" s="2">
        <f ca="1" t="shared" si="1"/>
        <v>4.143863245</v>
      </c>
      <c r="Q19" s="2">
        <f ca="1" t="shared" si="6"/>
        <v>8.28772649</v>
      </c>
      <c r="R19" s="2">
        <f ca="1" t="shared" si="2"/>
        <v>1</v>
      </c>
    </row>
    <row r="20" spans="1:18">
      <c r="A20">
        <v>18</v>
      </c>
      <c r="B20">
        <v>1.82292670891305</v>
      </c>
      <c r="C20">
        <v>1.74721760785891</v>
      </c>
      <c r="D20">
        <v>1.89863580996719</v>
      </c>
      <c r="G20" s="2">
        <v>18</v>
      </c>
      <c r="H20" s="2">
        <f ca="1">OFFSET($B$2,(ROW(B19)-1)*4,0)</f>
        <v>1.67635289761096</v>
      </c>
      <c r="I20" s="2">
        <f ca="1" t="shared" si="3"/>
        <v>3.35270579522192</v>
      </c>
      <c r="J20" s="2">
        <v>1.033227</v>
      </c>
      <c r="K20" s="2">
        <f ca="1" t="shared" si="0"/>
        <v>1.73205307533988</v>
      </c>
      <c r="L20" s="2">
        <f ca="1">OFFSET($C$2,(ROW(C19)-1)*4,0)</f>
        <v>1.14380272436823</v>
      </c>
      <c r="M20" s="2">
        <f ca="1" t="shared" si="4"/>
        <v>2.28760544873646</v>
      </c>
      <c r="N20" s="2">
        <f ca="1">OFFSET($D$2,(ROW(D19)-1)*4,0)</f>
        <v>2.20890307085369</v>
      </c>
      <c r="O20" s="2">
        <f ca="1" t="shared" si="5"/>
        <v>4.41780614170738</v>
      </c>
      <c r="P20" s="2">
        <f ca="1" t="shared" si="1"/>
        <v>1.73205307533988</v>
      </c>
      <c r="Q20" s="2">
        <f ca="1" t="shared" si="6"/>
        <v>3.46410615067976</v>
      </c>
      <c r="R20" s="2">
        <f ca="1" t="shared" si="2"/>
        <v>1</v>
      </c>
    </row>
    <row r="21" spans="1:18">
      <c r="A21">
        <v>19</v>
      </c>
      <c r="B21">
        <v>1.29413357832933</v>
      </c>
      <c r="C21">
        <v>1.2335005877027</v>
      </c>
      <c r="D21">
        <v>1.35476656895596</v>
      </c>
      <c r="G21" s="2">
        <v>19</v>
      </c>
      <c r="H21" s="2">
        <f ca="1">OFFSET($B$2,(ROW(B20)-1)*4,0)</f>
        <v>1.32961672752064</v>
      </c>
      <c r="I21" s="2">
        <f ca="1" t="shared" si="3"/>
        <v>2.65923345504128</v>
      </c>
      <c r="J21" s="2">
        <v>1.031367</v>
      </c>
      <c r="K21" s="2">
        <f ca="1" t="shared" si="0"/>
        <v>1.37132281541278</v>
      </c>
      <c r="L21" s="2">
        <f ca="1">OFFSET($C$2,(ROW(C20)-1)*4,0)</f>
        <v>1.24951614879473</v>
      </c>
      <c r="M21" s="2">
        <f ca="1" t="shared" si="4"/>
        <v>2.49903229758946</v>
      </c>
      <c r="N21" s="2">
        <f ca="1">OFFSET($D$2,(ROW(D20)-1)*4,0)</f>
        <v>1.40971730624656</v>
      </c>
      <c r="O21" s="2">
        <f ca="1" t="shared" si="5"/>
        <v>2.81943461249312</v>
      </c>
      <c r="P21" s="2">
        <f ca="1" t="shared" si="1"/>
        <v>1.37132281541278</v>
      </c>
      <c r="Q21" s="2">
        <f ca="1" t="shared" si="6"/>
        <v>2.74264563082556</v>
      </c>
      <c r="R21" s="2">
        <f ca="1" t="shared" si="2"/>
        <v>1</v>
      </c>
    </row>
    <row r="22" spans="1:18">
      <c r="A22">
        <v>20</v>
      </c>
      <c r="B22">
        <v>1.2460589072752</v>
      </c>
      <c r="C22">
        <v>1.16625645981652</v>
      </c>
      <c r="D22">
        <v>1.32586135473389</v>
      </c>
      <c r="G22" s="2">
        <v>20</v>
      </c>
      <c r="H22" s="2">
        <f ca="1">OFFSET($B$2,(ROW(B21)-1)*4,0)</f>
        <v>2.00155275633046</v>
      </c>
      <c r="I22" s="2">
        <f ca="1" t="shared" si="3"/>
        <v>4.00310551266092</v>
      </c>
      <c r="J22" s="2">
        <v>0.963888</v>
      </c>
      <c r="K22" s="2">
        <f ca="1" t="shared" si="0"/>
        <v>1.92927268319385</v>
      </c>
      <c r="L22" s="2">
        <f ca="1">OFFSET($C$2,(ROW(C21)-1)*4,0)</f>
        <v>1.9586624089722</v>
      </c>
      <c r="M22" s="2">
        <f ca="1" t="shared" si="4"/>
        <v>3.9173248179444</v>
      </c>
      <c r="N22" s="2">
        <f ca="1">OFFSET($D$2,(ROW(D21)-1)*4,0)</f>
        <v>2.04444310368872</v>
      </c>
      <c r="O22" s="2">
        <f ca="1" t="shared" si="5"/>
        <v>4.08888620737744</v>
      </c>
      <c r="P22" s="2">
        <f ca="1" t="shared" si="1"/>
        <v>1.92927268319385</v>
      </c>
      <c r="Q22" s="2">
        <f ca="1" t="shared" si="6"/>
        <v>3.85854536638771</v>
      </c>
      <c r="R22" s="2">
        <f ca="1" t="shared" si="2"/>
        <v>1</v>
      </c>
    </row>
    <row r="23" spans="1:18">
      <c r="A23">
        <v>21</v>
      </c>
      <c r="B23">
        <v>1.25934426176468</v>
      </c>
      <c r="C23">
        <v>1.21342270905444</v>
      </c>
      <c r="D23">
        <v>1.30526581447492</v>
      </c>
      <c r="G23" s="2">
        <v>21</v>
      </c>
      <c r="H23" s="2">
        <f ca="1">OFFSET($B$2,(ROW(B22)-1)*4,0)</f>
        <v>1.5803153218469</v>
      </c>
      <c r="I23" s="2">
        <f ca="1" t="shared" si="3"/>
        <v>3.1606306436938</v>
      </c>
      <c r="J23" s="2">
        <v>0.956548</v>
      </c>
      <c r="K23" s="2">
        <f ca="1" t="shared" si="0"/>
        <v>1.51164746048201</v>
      </c>
      <c r="L23" s="2">
        <f ca="1">OFFSET($C$2,(ROW(C22)-1)*4,0)</f>
        <v>1.50574448773613</v>
      </c>
      <c r="M23" s="2">
        <f ca="1" t="shared" si="4"/>
        <v>3.01148897547226</v>
      </c>
      <c r="N23" s="2">
        <f ca="1">OFFSET($D$2,(ROW(D22)-1)*4,0)</f>
        <v>1.65488615595767</v>
      </c>
      <c r="O23" s="2">
        <f ca="1" t="shared" si="5"/>
        <v>3.30977231191534</v>
      </c>
      <c r="P23" s="2">
        <f ca="1" t="shared" si="1"/>
        <v>1.51164746048201</v>
      </c>
      <c r="Q23" s="2">
        <f ca="1" t="shared" si="6"/>
        <v>3.02329492096402</v>
      </c>
      <c r="R23" s="2">
        <f ca="1" t="shared" si="2"/>
        <v>1</v>
      </c>
    </row>
    <row r="24" spans="1:18">
      <c r="A24">
        <v>22</v>
      </c>
      <c r="B24">
        <v>1.40336092648676</v>
      </c>
      <c r="C24">
        <v>1.34595898559896</v>
      </c>
      <c r="D24">
        <v>1.46076286737455</v>
      </c>
      <c r="G24" s="2">
        <v>22</v>
      </c>
      <c r="H24" s="2">
        <f ca="1">OFFSET($B$2,(ROW(B23)-1)*4,0)</f>
        <v>1.53572837327924</v>
      </c>
      <c r="I24" s="2">
        <f ca="1" t="shared" si="3"/>
        <v>3.07145674655848</v>
      </c>
      <c r="J24" s="2">
        <v>0.971773</v>
      </c>
      <c r="K24" s="2">
        <f ca="1" t="shared" si="0"/>
        <v>1.49237936848669</v>
      </c>
      <c r="L24" s="2">
        <f ca="1">OFFSET($C$2,(ROW(C23)-1)*4,0)</f>
        <v>1.47911347139451</v>
      </c>
      <c r="M24" s="2">
        <f ca="1" t="shared" si="4"/>
        <v>2.95822694278902</v>
      </c>
      <c r="N24" s="2">
        <f ca="1">OFFSET($D$2,(ROW(D23)-1)*4,0)</f>
        <v>1.59234327516397</v>
      </c>
      <c r="O24" s="2">
        <f ca="1" t="shared" si="5"/>
        <v>3.18468655032794</v>
      </c>
      <c r="P24" s="2">
        <f ca="1" t="shared" si="1"/>
        <v>1.49237936848669</v>
      </c>
      <c r="Q24" s="2">
        <f ca="1" t="shared" si="6"/>
        <v>2.98475873697337</v>
      </c>
      <c r="R24" s="2">
        <f ca="1" t="shared" si="2"/>
        <v>1</v>
      </c>
    </row>
    <row r="25" spans="1:18">
      <c r="A25">
        <v>23</v>
      </c>
      <c r="B25">
        <v>1.2072403141856</v>
      </c>
      <c r="C25">
        <v>1.14101469642032</v>
      </c>
      <c r="D25">
        <v>1.27346593195088</v>
      </c>
      <c r="G25" s="2">
        <v>23</v>
      </c>
      <c r="H25" s="2">
        <f ca="1">OFFSET($B$2,(ROW(B24)-1)*4,0)</f>
        <v>1.65696851884332</v>
      </c>
      <c r="I25" s="2">
        <f ca="1" t="shared" si="3"/>
        <v>3.31393703768664</v>
      </c>
      <c r="J25" s="2">
        <v>0.975908</v>
      </c>
      <c r="K25" s="2">
        <f ca="1" t="shared" si="0"/>
        <v>1.61704883328735</v>
      </c>
      <c r="L25" s="2">
        <f ca="1">OFFSET($C$2,(ROW(C24)-1)*4,0)</f>
        <v>1.60102629314012</v>
      </c>
      <c r="M25" s="2">
        <f ca="1" t="shared" si="4"/>
        <v>3.20205258628024</v>
      </c>
      <c r="N25" s="2">
        <f ca="1">OFFSET($D$2,(ROW(D24)-1)*4,0)</f>
        <v>1.71291074454652</v>
      </c>
      <c r="O25" s="2">
        <f ca="1" t="shared" si="5"/>
        <v>3.42582148909304</v>
      </c>
      <c r="P25" s="2">
        <f ca="1" t="shared" si="1"/>
        <v>1.61704883328735</v>
      </c>
      <c r="Q25" s="2">
        <f ca="1" t="shared" si="6"/>
        <v>3.23409766657469</v>
      </c>
      <c r="R25" s="2">
        <f ca="1" t="shared" si="2"/>
        <v>1</v>
      </c>
    </row>
    <row r="26" spans="1:4">
      <c r="A26">
        <v>24</v>
      </c>
      <c r="B26">
        <v>0.433202665878096</v>
      </c>
      <c r="C26">
        <v>0.379615890712904</v>
      </c>
      <c r="D26">
        <v>0.486789441043288</v>
      </c>
    </row>
    <row r="27" spans="1:4">
      <c r="A27">
        <v>25</v>
      </c>
      <c r="B27">
        <v>1.30907957446249</v>
      </c>
      <c r="C27">
        <v>1.24044194360946</v>
      </c>
      <c r="D27">
        <v>1.37771720531553</v>
      </c>
    </row>
    <row r="28" spans="1:4">
      <c r="A28">
        <v>26</v>
      </c>
      <c r="B28">
        <v>1.40662619428738</v>
      </c>
      <c r="C28">
        <v>1.35976767889378</v>
      </c>
      <c r="D28">
        <v>1.45348470968098</v>
      </c>
    </row>
    <row r="29" spans="1:4">
      <c r="A29">
        <v>27</v>
      </c>
      <c r="B29">
        <v>0.913561097232598</v>
      </c>
      <c r="C29">
        <v>0.843969979395443</v>
      </c>
      <c r="D29">
        <v>0.983152215069753</v>
      </c>
    </row>
    <row r="30" spans="1:4">
      <c r="A30">
        <v>28</v>
      </c>
      <c r="B30">
        <v>0.660079018176577</v>
      </c>
      <c r="C30">
        <v>0.613190589907034</v>
      </c>
      <c r="D30">
        <v>0.70696744644612</v>
      </c>
    </row>
    <row r="31" spans="1:4">
      <c r="A31">
        <v>29</v>
      </c>
      <c r="B31">
        <v>3.2524999185993</v>
      </c>
      <c r="C31">
        <v>3.22929616429933</v>
      </c>
      <c r="D31">
        <v>3.27570367289927</v>
      </c>
    </row>
    <row r="32" spans="1:4">
      <c r="A32">
        <v>30</v>
      </c>
      <c r="B32">
        <v>10.6675</v>
      </c>
      <c r="C32">
        <v>10.5835866614452</v>
      </c>
      <c r="D32">
        <v>10.7514133385548</v>
      </c>
    </row>
    <row r="33" spans="1:4">
      <c r="A33">
        <v>31</v>
      </c>
      <c r="B33">
        <v>23.3325</v>
      </c>
      <c r="C33">
        <v>22.3138239686746</v>
      </c>
      <c r="D33">
        <v>24.3511760313254</v>
      </c>
    </row>
    <row r="34" spans="1:4">
      <c r="A34">
        <v>32</v>
      </c>
      <c r="B34">
        <v>38.465</v>
      </c>
      <c r="C34">
        <v>35.1417291689057</v>
      </c>
      <c r="D34">
        <v>41.7882708310943</v>
      </c>
    </row>
    <row r="35" spans="1:4">
      <c r="A35">
        <v>33</v>
      </c>
      <c r="B35">
        <v>50.4825</v>
      </c>
      <c r="C35">
        <v>45.4101640977048</v>
      </c>
      <c r="D35">
        <v>55.5548359022952</v>
      </c>
    </row>
    <row r="36" spans="1:4">
      <c r="A36">
        <v>34</v>
      </c>
      <c r="B36">
        <v>69.8175</v>
      </c>
      <c r="C36">
        <v>62.7850204668373</v>
      </c>
      <c r="D36">
        <v>76.8499795331627</v>
      </c>
    </row>
    <row r="37" spans="1:4">
      <c r="A37">
        <v>35</v>
      </c>
      <c r="B37">
        <v>83.075</v>
      </c>
      <c r="C37">
        <v>74.6240393594631</v>
      </c>
      <c r="D37">
        <v>91.5259606405369</v>
      </c>
    </row>
    <row r="38" spans="1:4">
      <c r="A38">
        <v>36</v>
      </c>
      <c r="B38">
        <v>109.3575</v>
      </c>
      <c r="C38">
        <v>97.9735594391906</v>
      </c>
      <c r="D38">
        <v>120.741440560809</v>
      </c>
    </row>
    <row r="39" spans="1:4">
      <c r="A39">
        <v>37</v>
      </c>
      <c r="B39">
        <v>142.45</v>
      </c>
      <c r="C39">
        <v>117.755622800282</v>
      </c>
      <c r="D39">
        <v>167.144377199718</v>
      </c>
    </row>
    <row r="40" spans="1:4">
      <c r="A40">
        <v>38</v>
      </c>
      <c r="B40">
        <v>177.0575</v>
      </c>
      <c r="C40">
        <v>146.093251255356</v>
      </c>
      <c r="D40">
        <v>208.021748744644</v>
      </c>
    </row>
    <row r="41" spans="1:4">
      <c r="A41">
        <v>39</v>
      </c>
      <c r="B41">
        <v>208.7975</v>
      </c>
      <c r="C41">
        <v>171.823658456925</v>
      </c>
      <c r="D41">
        <v>245.771341543075</v>
      </c>
    </row>
    <row r="42" spans="1:4">
      <c r="A42">
        <v>40</v>
      </c>
      <c r="B42">
        <v>226.39</v>
      </c>
      <c r="C42">
        <v>189.493032151142</v>
      </c>
      <c r="D42">
        <v>263.286967848858</v>
      </c>
    </row>
    <row r="43" spans="1:4">
      <c r="A43">
        <v>41</v>
      </c>
      <c r="B43">
        <v>245.89</v>
      </c>
      <c r="C43">
        <v>204.413175908391</v>
      </c>
      <c r="D43">
        <v>287.366824091609</v>
      </c>
    </row>
    <row r="44" spans="1:4">
      <c r="A44">
        <v>42</v>
      </c>
      <c r="B44">
        <v>284.5975</v>
      </c>
      <c r="C44">
        <v>232.836265475667</v>
      </c>
      <c r="D44">
        <v>336.358734524333</v>
      </c>
    </row>
    <row r="45" spans="1:4">
      <c r="A45">
        <v>43</v>
      </c>
      <c r="B45">
        <v>291.895</v>
      </c>
      <c r="C45">
        <v>233.886039291234</v>
      </c>
      <c r="D45">
        <v>349.903960708766</v>
      </c>
    </row>
    <row r="46" spans="1:4">
      <c r="A46">
        <v>44</v>
      </c>
      <c r="B46">
        <v>280.2725</v>
      </c>
      <c r="C46">
        <v>219.640700030149</v>
      </c>
      <c r="D46">
        <v>340.904299969851</v>
      </c>
    </row>
    <row r="47" spans="1:4">
      <c r="A47">
        <v>45</v>
      </c>
      <c r="B47">
        <v>281.6075</v>
      </c>
      <c r="C47">
        <v>216.437852121623</v>
      </c>
      <c r="D47">
        <v>346.777147878377</v>
      </c>
    </row>
    <row r="48" spans="1:4">
      <c r="A48">
        <v>46</v>
      </c>
      <c r="B48">
        <v>288.5</v>
      </c>
      <c r="C48">
        <v>219.201260545146</v>
      </c>
      <c r="D48">
        <v>357.798739454854</v>
      </c>
    </row>
    <row r="49" spans="1:4">
      <c r="A49">
        <v>47</v>
      </c>
      <c r="B49">
        <v>302.93</v>
      </c>
      <c r="C49">
        <v>232.852285514378</v>
      </c>
      <c r="D49">
        <v>373.007714485622</v>
      </c>
    </row>
    <row r="50" spans="1:4">
      <c r="A50">
        <v>48</v>
      </c>
      <c r="B50">
        <v>273.73</v>
      </c>
      <c r="C50">
        <v>208.399000329279</v>
      </c>
      <c r="D50">
        <v>339.060999670721</v>
      </c>
    </row>
    <row r="51" spans="1:4">
      <c r="A51">
        <v>49</v>
      </c>
      <c r="B51">
        <v>271.29</v>
      </c>
      <c r="C51">
        <v>214.256852316977</v>
      </c>
      <c r="D51">
        <v>328.323147683023</v>
      </c>
    </row>
    <row r="52" spans="1:4">
      <c r="A52">
        <v>50</v>
      </c>
      <c r="B52">
        <v>264.3425</v>
      </c>
      <c r="C52">
        <v>207.279522318</v>
      </c>
      <c r="D52">
        <v>321.405477682</v>
      </c>
    </row>
    <row r="53" spans="1:4">
      <c r="A53">
        <v>51</v>
      </c>
      <c r="B53">
        <v>245.7875</v>
      </c>
      <c r="C53">
        <v>191.132240609597</v>
      </c>
      <c r="D53">
        <v>300.442759390403</v>
      </c>
    </row>
    <row r="54" spans="1:4">
      <c r="A54">
        <v>52</v>
      </c>
      <c r="B54">
        <v>243.505</v>
      </c>
      <c r="C54">
        <v>212.882270711686</v>
      </c>
      <c r="D54">
        <v>274.127729288314</v>
      </c>
    </row>
    <row r="55" spans="1:4">
      <c r="A55">
        <v>53</v>
      </c>
      <c r="B55">
        <v>251.285</v>
      </c>
      <c r="C55">
        <v>232.886904758879</v>
      </c>
      <c r="D55">
        <v>269.683095241121</v>
      </c>
    </row>
    <row r="56" spans="1:4">
      <c r="A56">
        <v>54</v>
      </c>
      <c r="B56">
        <v>243.0075</v>
      </c>
      <c r="C56">
        <v>214.835360610692</v>
      </c>
      <c r="D56">
        <v>271.179639389308</v>
      </c>
    </row>
    <row r="57" spans="1:4">
      <c r="A57">
        <v>55</v>
      </c>
      <c r="B57">
        <v>227.935</v>
      </c>
      <c r="C57">
        <v>181.396326109434</v>
      </c>
      <c r="D57">
        <v>274.473673890566</v>
      </c>
    </row>
    <row r="58" spans="1:4">
      <c r="A58">
        <v>56</v>
      </c>
      <c r="B58">
        <v>211.8275</v>
      </c>
      <c r="C58">
        <v>167.219913792104</v>
      </c>
      <c r="D58">
        <v>256.435086207896</v>
      </c>
    </row>
    <row r="59" spans="1:4">
      <c r="A59">
        <v>57</v>
      </c>
      <c r="B59">
        <v>172.9825</v>
      </c>
      <c r="C59">
        <v>126.098032085988</v>
      </c>
      <c r="D59">
        <v>219.866967914012</v>
      </c>
    </row>
    <row r="60" spans="1:4">
      <c r="A60">
        <v>58</v>
      </c>
      <c r="B60">
        <v>153.93</v>
      </c>
      <c r="C60">
        <v>129.128553352593</v>
      </c>
      <c r="D60">
        <v>178.731446647407</v>
      </c>
    </row>
    <row r="61" spans="1:4">
      <c r="A61">
        <v>59</v>
      </c>
      <c r="B61">
        <v>154.795</v>
      </c>
      <c r="C61">
        <v>141.812412312819</v>
      </c>
      <c r="D61">
        <v>167.777587687181</v>
      </c>
    </row>
    <row r="62" spans="1:4">
      <c r="A62">
        <v>60</v>
      </c>
      <c r="B62">
        <v>137.8575</v>
      </c>
      <c r="C62">
        <v>121.425214361155</v>
      </c>
      <c r="D62">
        <v>154.289785638845</v>
      </c>
    </row>
    <row r="63" spans="1:4">
      <c r="A63">
        <v>61</v>
      </c>
      <c r="B63">
        <v>101.9125</v>
      </c>
      <c r="C63">
        <v>91.8764639767727</v>
      </c>
      <c r="D63">
        <v>111.948536023227</v>
      </c>
    </row>
    <row r="64" spans="1:4">
      <c r="A64">
        <v>62</v>
      </c>
      <c r="B64">
        <v>72.6</v>
      </c>
      <c r="C64">
        <v>62.4451228808882</v>
      </c>
      <c r="D64">
        <v>82.7548771191118</v>
      </c>
    </row>
    <row r="65" spans="1:4">
      <c r="A65">
        <v>63</v>
      </c>
      <c r="B65">
        <v>60.83</v>
      </c>
      <c r="C65">
        <v>49.7206311324958</v>
      </c>
      <c r="D65">
        <v>71.9393688675042</v>
      </c>
    </row>
    <row r="66" spans="1:4">
      <c r="A66">
        <v>64</v>
      </c>
      <c r="B66">
        <v>57.2</v>
      </c>
      <c r="C66">
        <v>44.1081675280479</v>
      </c>
      <c r="D66">
        <v>70.2918324719521</v>
      </c>
    </row>
    <row r="67" spans="1:4">
      <c r="A67">
        <v>65</v>
      </c>
      <c r="B67">
        <v>39.335</v>
      </c>
      <c r="C67">
        <v>28.2641473351205</v>
      </c>
      <c r="D67">
        <v>50.4058526648795</v>
      </c>
    </row>
    <row r="68" spans="1:4">
      <c r="A68">
        <v>66</v>
      </c>
      <c r="B68">
        <v>26.9</v>
      </c>
      <c r="C68">
        <v>19.8726409574459</v>
      </c>
      <c r="D68">
        <v>33.9273590425541</v>
      </c>
    </row>
    <row r="69" spans="1:4">
      <c r="A69">
        <v>67</v>
      </c>
      <c r="B69">
        <v>15.5</v>
      </c>
      <c r="C69">
        <v>11.2975532993717</v>
      </c>
      <c r="D69">
        <v>19.7024467006283</v>
      </c>
    </row>
    <row r="70" spans="1:4">
      <c r="A70">
        <v>68</v>
      </c>
      <c r="B70">
        <v>4.295</v>
      </c>
      <c r="C70">
        <v>-0.0519094295368312</v>
      </c>
      <c r="D70">
        <v>8.64190942953683</v>
      </c>
    </row>
    <row r="71" spans="1:4">
      <c r="A71">
        <v>69</v>
      </c>
      <c r="B71">
        <v>1.63639824716682</v>
      </c>
      <c r="C71">
        <v>-1.99793143658476</v>
      </c>
      <c r="D71">
        <v>5.27072793091839</v>
      </c>
    </row>
    <row r="72" spans="1:4">
      <c r="A72">
        <v>70</v>
      </c>
      <c r="B72">
        <v>1.32833317216541</v>
      </c>
      <c r="C72">
        <v>-3.21881335879124</v>
      </c>
      <c r="D72">
        <v>5.87547970312206</v>
      </c>
    </row>
    <row r="73" spans="1:4">
      <c r="A73">
        <v>71</v>
      </c>
      <c r="B73">
        <v>1.5347470685028</v>
      </c>
      <c r="C73">
        <v>-0.0453921123348446</v>
      </c>
      <c r="D73">
        <v>3.11488624934044</v>
      </c>
    </row>
    <row r="74" spans="1:4">
      <c r="A74">
        <v>72</v>
      </c>
      <c r="B74">
        <v>1.67635289761096</v>
      </c>
      <c r="C74">
        <v>1.14380272436823</v>
      </c>
      <c r="D74">
        <v>2.20890307085369</v>
      </c>
    </row>
    <row r="75" spans="1:4">
      <c r="A75">
        <v>73</v>
      </c>
      <c r="B75">
        <v>1.6194549248338</v>
      </c>
      <c r="C75">
        <v>1.11728269037586</v>
      </c>
      <c r="D75">
        <v>2.12162715929174</v>
      </c>
    </row>
    <row r="76" spans="1:4">
      <c r="A76">
        <v>74</v>
      </c>
      <c r="B76">
        <v>1.02424492631122</v>
      </c>
      <c r="C76">
        <v>0.923226948245973</v>
      </c>
      <c r="D76">
        <v>1.12526290437648</v>
      </c>
    </row>
    <row r="77" spans="1:4">
      <c r="A77">
        <v>75</v>
      </c>
      <c r="B77">
        <v>0.996681497550831</v>
      </c>
      <c r="C77">
        <v>0.936233787695438</v>
      </c>
      <c r="D77">
        <v>1.05712920740623</v>
      </c>
    </row>
    <row r="78" spans="1:4">
      <c r="A78">
        <v>76</v>
      </c>
      <c r="B78">
        <v>1.32961672752064</v>
      </c>
      <c r="C78">
        <v>1.24951614879473</v>
      </c>
      <c r="D78">
        <v>1.40971730624656</v>
      </c>
    </row>
    <row r="79" spans="1:4">
      <c r="A79">
        <v>77</v>
      </c>
      <c r="B79">
        <v>1.67101372844379</v>
      </c>
      <c r="C79">
        <v>1.61195041135354</v>
      </c>
      <c r="D79">
        <v>1.73007704553404</v>
      </c>
    </row>
    <row r="80" spans="1:4">
      <c r="A80">
        <v>78</v>
      </c>
      <c r="B80">
        <v>1.67250540130969</v>
      </c>
      <c r="C80">
        <v>1.61777945624499</v>
      </c>
      <c r="D80">
        <v>1.72723134637439</v>
      </c>
    </row>
    <row r="81" spans="1:4">
      <c r="A81">
        <v>79</v>
      </c>
      <c r="B81">
        <v>1.55807678705335</v>
      </c>
      <c r="C81">
        <v>1.50246134416577</v>
      </c>
      <c r="D81">
        <v>1.61369222994092</v>
      </c>
    </row>
    <row r="82" spans="1:4">
      <c r="A82">
        <v>80</v>
      </c>
      <c r="B82">
        <v>2.00155275633046</v>
      </c>
      <c r="C82">
        <v>1.9586624089722</v>
      </c>
      <c r="D82">
        <v>2.04444310368872</v>
      </c>
    </row>
    <row r="83" spans="1:4">
      <c r="A83">
        <v>81</v>
      </c>
      <c r="B83">
        <v>1.51855976017858</v>
      </c>
      <c r="C83">
        <v>1.44196686536562</v>
      </c>
      <c r="D83">
        <v>1.59515265499154</v>
      </c>
    </row>
    <row r="84" spans="1:4">
      <c r="A84">
        <v>82</v>
      </c>
      <c r="B84">
        <v>1.12052470516511</v>
      </c>
      <c r="C84">
        <v>1.07096146425402</v>
      </c>
      <c r="D84">
        <v>1.17008794607621</v>
      </c>
    </row>
    <row r="85" spans="1:4">
      <c r="A85">
        <v>83</v>
      </c>
      <c r="B85">
        <v>1.2864347659534</v>
      </c>
      <c r="C85">
        <v>1.21462252020266</v>
      </c>
      <c r="D85">
        <v>1.35824701170415</v>
      </c>
    </row>
    <row r="86" spans="1:4">
      <c r="A86">
        <v>84</v>
      </c>
      <c r="B86">
        <v>1.5803153218469</v>
      </c>
      <c r="C86">
        <v>1.50574448773613</v>
      </c>
      <c r="D86">
        <v>1.65488615595767</v>
      </c>
    </row>
    <row r="87" spans="1:4">
      <c r="A87">
        <v>85</v>
      </c>
      <c r="B87">
        <v>1.45055455999355</v>
      </c>
      <c r="C87">
        <v>1.36465952363567</v>
      </c>
      <c r="D87">
        <v>1.53644959635143</v>
      </c>
    </row>
    <row r="88" spans="1:4">
      <c r="A88">
        <v>86</v>
      </c>
      <c r="B88">
        <v>1.17367494613194</v>
      </c>
      <c r="C88">
        <v>1.12268934889996</v>
      </c>
      <c r="D88">
        <v>1.22466054336393</v>
      </c>
    </row>
    <row r="89" spans="1:4">
      <c r="A89">
        <v>87</v>
      </c>
      <c r="B89">
        <v>1.53009135917</v>
      </c>
      <c r="C89">
        <v>1.45969893550338</v>
      </c>
      <c r="D89">
        <v>1.60048378283662</v>
      </c>
    </row>
    <row r="90" spans="1:4">
      <c r="A90">
        <v>88</v>
      </c>
      <c r="B90">
        <v>1.53572837327924</v>
      </c>
      <c r="C90">
        <v>1.47911347139451</v>
      </c>
      <c r="D90">
        <v>1.59234327516397</v>
      </c>
    </row>
    <row r="91" spans="1:4">
      <c r="A91">
        <v>89</v>
      </c>
      <c r="B91">
        <v>1.42796072288985</v>
      </c>
      <c r="C91">
        <v>1.35583675675584</v>
      </c>
      <c r="D91">
        <v>1.50008468902387</v>
      </c>
    </row>
    <row r="92" spans="1:4">
      <c r="A92">
        <v>90</v>
      </c>
      <c r="B92">
        <v>1.74788999497272</v>
      </c>
      <c r="C92">
        <v>1.697124877032</v>
      </c>
      <c r="D92">
        <v>1.79865511291344</v>
      </c>
    </row>
    <row r="93" spans="1:4">
      <c r="A93">
        <v>91</v>
      </c>
      <c r="B93">
        <v>1.77222883734095</v>
      </c>
      <c r="C93">
        <v>1.71699285380538</v>
      </c>
      <c r="D93">
        <v>1.82746482087653</v>
      </c>
    </row>
    <row r="94" spans="1:4">
      <c r="A94">
        <v>92</v>
      </c>
      <c r="B94">
        <v>1.65696851884332</v>
      </c>
      <c r="C94">
        <v>1.60102629314012</v>
      </c>
      <c r="D94">
        <v>1.71291074454652</v>
      </c>
    </row>
    <row r="95" spans="1:4">
      <c r="A95">
        <v>93</v>
      </c>
      <c r="B95">
        <v>1.72162167562545</v>
      </c>
      <c r="C95">
        <v>1.67821142628676</v>
      </c>
      <c r="D95">
        <v>1.76503192496414</v>
      </c>
    </row>
    <row r="96" spans="1:4">
      <c r="A96">
        <v>94</v>
      </c>
      <c r="B96">
        <v>1.26186975459588</v>
      </c>
      <c r="C96">
        <v>1.21322020015452</v>
      </c>
      <c r="D96">
        <v>1.31051930903723</v>
      </c>
    </row>
    <row r="97" spans="1:4">
      <c r="A97">
        <v>95</v>
      </c>
      <c r="B97">
        <v>1.50971720838771</v>
      </c>
      <c r="C97">
        <v>1.42774794154101</v>
      </c>
      <c r="D97">
        <v>1.5916864752344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2024-09-20T07:29:00Z</dcterms:created>
  <dcterms:modified xsi:type="dcterms:W3CDTF">2024-10-29T09:06:20Z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E0D2307CE58746F18C81D3A7401E5B67_12</vt:lpwstr>
  </property>
  <property fmtid="{D5CDD505-2E9C-101B-9397-08002B2CF9AE}" pid="3" name="KSOProductBuildVer">
    <vt:lpwstr>2052-12.1.0.18276</vt:lpwstr>
  </property>
</Properties>
</file>